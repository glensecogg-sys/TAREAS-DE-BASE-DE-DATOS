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1845F55-2A33-4CC9-B7D9-FF902D9A1DA6}" xr6:coauthVersionLast="47" xr6:coauthVersionMax="47" xr10:uidLastSave="{00000000-0000-0000-0000-000000000000}"/>
  <bookViews>
    <workbookView xWindow="-108" yWindow="-108" windowWidth="23256" windowHeight="12456" activeTab="3" xr2:uid="{623FA166-CF6A-40E6-BA4E-3DBC816B171B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2" i="3"/>
  <c r="C9" i="3"/>
  <c r="D9" i="3"/>
  <c r="E9" i="3"/>
  <c r="F9" i="3"/>
  <c r="B9" i="3"/>
  <c r="D7" i="2"/>
  <c r="D3" i="2"/>
  <c r="D4" i="2"/>
  <c r="D5" i="2"/>
  <c r="D6" i="2"/>
  <c r="D2" i="2"/>
  <c r="C7" i="1"/>
  <c r="C4" i="1"/>
  <c r="C5" i="1"/>
  <c r="C6" i="1"/>
  <c r="C3" i="1"/>
  <c r="C2" i="1"/>
  <c r="B7" i="1"/>
</calcChain>
</file>

<file path=xl/sharedStrings.xml><?xml version="1.0" encoding="utf-8"?>
<sst xmlns="http://schemas.openxmlformats.org/spreadsheetml/2006/main" count="41" uniqueCount="39">
  <si>
    <t>lista de productos</t>
  </si>
  <si>
    <t>arroz</t>
  </si>
  <si>
    <t>bebida</t>
  </si>
  <si>
    <t>carne</t>
  </si>
  <si>
    <t>agua</t>
  </si>
  <si>
    <t>frijoles</t>
  </si>
  <si>
    <t>PRODUCTO</t>
  </si>
  <si>
    <t xml:space="preserve">CANTIDAD </t>
  </si>
  <si>
    <t>TOTAL</t>
  </si>
  <si>
    <t>CLAVOS</t>
  </si>
  <si>
    <t>TABLAS</t>
  </si>
  <si>
    <t>TORNILLOS</t>
  </si>
  <si>
    <t>TALADRO</t>
  </si>
  <si>
    <t>ESCUADRA</t>
  </si>
  <si>
    <t>PRECIO</t>
  </si>
  <si>
    <t>TOTAL FINAL</t>
  </si>
  <si>
    <t>ALUMNO</t>
  </si>
  <si>
    <t>CLASE #1</t>
  </si>
  <si>
    <t>CLASE #2</t>
  </si>
  <si>
    <t>CLASE #3</t>
  </si>
  <si>
    <t>CLASE #4</t>
  </si>
  <si>
    <t>CLASE #5</t>
  </si>
  <si>
    <t xml:space="preserve">GLEN </t>
  </si>
  <si>
    <t>IVIS</t>
  </si>
  <si>
    <t>IVONNE</t>
  </si>
  <si>
    <t>ANDRE</t>
  </si>
  <si>
    <t>FREDY</t>
  </si>
  <si>
    <t>ASHLY</t>
  </si>
  <si>
    <t>SUNELL</t>
  </si>
  <si>
    <t>PROMEDIO</t>
  </si>
  <si>
    <t>Stock Actual</t>
  </si>
  <si>
    <t xml:space="preserve">Stock Minimo </t>
  </si>
  <si>
    <t>Precio</t>
  </si>
  <si>
    <t>Camisas</t>
  </si>
  <si>
    <t>Zapatos</t>
  </si>
  <si>
    <t>Gorras</t>
  </si>
  <si>
    <t>Mochilas</t>
  </si>
  <si>
    <t>Relojes</t>
  </si>
  <si>
    <t>Perfumes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</si>
</sst>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2" borderId="0" xfId="0" applyFont="1" applyFill="1"/>
    <xf numFmtId="1" fontId="0" fillId="0" borderId="0" xfId="0" applyNumberFormat="1"/>
    <xf numFmtId="0" fontId="3" fillId="3" borderId="1" xfId="0" applyFont="1" applyFill="1" applyBorder="1"/>
  </cellXfs>
  <cellStyles count="1">
    <cellStyle name="Normal" xfId="0" builtinId="0"/>
  </cellStyles>
  <dxfs count="27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rgb="FF00B050"/>
        </patternFill>
      </fill>
    </dxf>
    <dxf>
      <font>
        <color rgb="FFFFC00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86AC-C7A7-4736-90E2-183CDA5932C8}">
  <dimension ref="A1:C7"/>
  <sheetViews>
    <sheetView workbookViewId="0">
      <selection activeCell="E7" sqref="E7"/>
    </sheetView>
  </sheetViews>
  <sheetFormatPr baseColWidth="10" defaultRowHeight="14.4" x14ac:dyDescent="0.3"/>
  <sheetData>
    <row r="1" spans="1:3" x14ac:dyDescent="0.3">
      <c r="A1" s="1" t="s">
        <v>0</v>
      </c>
      <c r="B1" s="1"/>
    </row>
    <row r="2" spans="1:3" x14ac:dyDescent="0.3">
      <c r="A2" t="s">
        <v>1</v>
      </c>
      <c r="B2">
        <v>180</v>
      </c>
      <c r="C2">
        <f>B2-5</f>
        <v>175</v>
      </c>
    </row>
    <row r="3" spans="1:3" x14ac:dyDescent="0.3">
      <c r="A3" t="s">
        <v>2</v>
      </c>
      <c r="B3">
        <v>50</v>
      </c>
      <c r="C3">
        <f>B3-5</f>
        <v>45</v>
      </c>
    </row>
    <row r="4" spans="1:3" x14ac:dyDescent="0.3">
      <c r="A4" t="s">
        <v>3</v>
      </c>
      <c r="B4">
        <v>150</v>
      </c>
      <c r="C4">
        <f t="shared" ref="C4:C6" si="0">B4-5</f>
        <v>145</v>
      </c>
    </row>
    <row r="5" spans="1:3" x14ac:dyDescent="0.3">
      <c r="A5" t="s">
        <v>4</v>
      </c>
      <c r="B5">
        <v>35</v>
      </c>
      <c r="C5">
        <f t="shared" si="0"/>
        <v>30</v>
      </c>
    </row>
    <row r="6" spans="1:3" x14ac:dyDescent="0.3">
      <c r="A6" t="s">
        <v>5</v>
      </c>
      <c r="B6">
        <v>120</v>
      </c>
      <c r="C6">
        <f t="shared" si="0"/>
        <v>115</v>
      </c>
    </row>
    <row r="7" spans="1:3" x14ac:dyDescent="0.3">
      <c r="B7">
        <f>SUM(B2:B6)</f>
        <v>535</v>
      </c>
      <c r="C7">
        <f>SUM(C2:C6)</f>
        <v>510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9B0D-D2BE-4A1C-9E52-4B4EADBEF48A}">
  <dimension ref="A1:F7"/>
  <sheetViews>
    <sheetView workbookViewId="0">
      <selection activeCell="F6" sqref="F6"/>
    </sheetView>
  </sheetViews>
  <sheetFormatPr baseColWidth="10" defaultRowHeight="14.4" x14ac:dyDescent="0.3"/>
  <sheetData>
    <row r="1" spans="1:6" x14ac:dyDescent="0.3">
      <c r="A1" s="4" t="s">
        <v>6</v>
      </c>
      <c r="B1" s="4" t="s">
        <v>14</v>
      </c>
      <c r="C1" s="4" t="s">
        <v>7</v>
      </c>
      <c r="D1" s="4" t="s">
        <v>8</v>
      </c>
    </row>
    <row r="2" spans="1:6" x14ac:dyDescent="0.3">
      <c r="A2" s="3" t="s">
        <v>9</v>
      </c>
      <c r="B2" s="3">
        <v>2</v>
      </c>
      <c r="C2" s="3">
        <v>200</v>
      </c>
      <c r="D2" s="3">
        <f>B2*C2</f>
        <v>400</v>
      </c>
    </row>
    <row r="3" spans="1:6" x14ac:dyDescent="0.3">
      <c r="A3" s="3" t="s">
        <v>10</v>
      </c>
      <c r="B3" s="3">
        <v>450</v>
      </c>
      <c r="C3" s="3">
        <v>20</v>
      </c>
      <c r="D3" s="3">
        <f t="shared" ref="D3:D6" si="0">B3*C3</f>
        <v>9000</v>
      </c>
    </row>
    <row r="4" spans="1:6" x14ac:dyDescent="0.3">
      <c r="A4" s="3" t="s">
        <v>11</v>
      </c>
      <c r="B4" s="3">
        <v>4</v>
      </c>
      <c r="C4" s="3">
        <v>300</v>
      </c>
      <c r="D4" s="3">
        <f t="shared" si="0"/>
        <v>1200</v>
      </c>
    </row>
    <row r="5" spans="1:6" x14ac:dyDescent="0.3">
      <c r="A5" s="3" t="s">
        <v>12</v>
      </c>
      <c r="B5" s="3">
        <v>5000</v>
      </c>
      <c r="C5" s="3">
        <v>1</v>
      </c>
      <c r="D5" s="3">
        <f t="shared" si="0"/>
        <v>5000</v>
      </c>
    </row>
    <row r="6" spans="1:6" x14ac:dyDescent="0.3">
      <c r="A6" s="3" t="s">
        <v>13</v>
      </c>
      <c r="B6" s="3">
        <v>300</v>
      </c>
      <c r="C6" s="3">
        <v>2</v>
      </c>
      <c r="D6" s="3">
        <f t="shared" si="0"/>
        <v>600</v>
      </c>
      <c r="F6" s="2"/>
    </row>
    <row r="7" spans="1:6" x14ac:dyDescent="0.3">
      <c r="A7" s="3"/>
      <c r="B7" s="3"/>
      <c r="C7" s="5" t="s">
        <v>15</v>
      </c>
      <c r="D7" s="5">
        <f>SUM(D2:D6)</f>
        <v>16200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C407-CAAA-4AF5-9FB7-12DAEB5244C2}">
  <dimension ref="A1:G9"/>
  <sheetViews>
    <sheetView workbookViewId="0">
      <selection activeCell="I11" sqref="I11"/>
    </sheetView>
  </sheetViews>
  <sheetFormatPr baseColWidth="10" defaultRowHeight="14.4" x14ac:dyDescent="0.3"/>
  <sheetData>
    <row r="1" spans="1:7" x14ac:dyDescent="0.3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29</v>
      </c>
    </row>
    <row r="2" spans="1:7" x14ac:dyDescent="0.3">
      <c r="A2" t="s">
        <v>26</v>
      </c>
      <c r="B2">
        <v>99</v>
      </c>
      <c r="C2">
        <v>70</v>
      </c>
      <c r="D2">
        <v>88</v>
      </c>
      <c r="E2">
        <v>77</v>
      </c>
      <c r="F2">
        <v>88</v>
      </c>
      <c r="G2">
        <f>AVERAGE(B2:F2)</f>
        <v>84.4</v>
      </c>
    </row>
    <row r="3" spans="1:7" x14ac:dyDescent="0.3">
      <c r="A3" t="s">
        <v>22</v>
      </c>
      <c r="B3">
        <v>99</v>
      </c>
      <c r="C3">
        <v>65</v>
      </c>
      <c r="D3">
        <v>78</v>
      </c>
      <c r="E3">
        <v>78</v>
      </c>
      <c r="F3">
        <v>78</v>
      </c>
      <c r="G3">
        <f t="shared" ref="G3:G8" si="0">AVERAGE(B3:F3)</f>
        <v>79.599999999999994</v>
      </c>
    </row>
    <row r="4" spans="1:7" x14ac:dyDescent="0.3">
      <c r="A4" t="s">
        <v>27</v>
      </c>
      <c r="B4">
        <v>99</v>
      </c>
      <c r="C4">
        <v>65</v>
      </c>
      <c r="D4">
        <v>15</v>
      </c>
      <c r="E4">
        <v>100</v>
      </c>
      <c r="F4">
        <v>15</v>
      </c>
      <c r="G4">
        <f t="shared" si="0"/>
        <v>58.8</v>
      </c>
    </row>
    <row r="5" spans="1:7" x14ac:dyDescent="0.3">
      <c r="A5" t="s">
        <v>23</v>
      </c>
      <c r="B5">
        <v>99</v>
      </c>
      <c r="C5">
        <v>77</v>
      </c>
      <c r="D5">
        <v>98</v>
      </c>
      <c r="E5">
        <v>100</v>
      </c>
      <c r="F5">
        <v>98</v>
      </c>
      <c r="G5">
        <f t="shared" si="0"/>
        <v>94.4</v>
      </c>
    </row>
    <row r="6" spans="1:7" x14ac:dyDescent="0.3">
      <c r="A6" t="s">
        <v>28</v>
      </c>
      <c r="B6">
        <v>99</v>
      </c>
      <c r="C6">
        <v>33</v>
      </c>
      <c r="D6">
        <v>66</v>
      </c>
      <c r="E6">
        <v>100</v>
      </c>
      <c r="F6">
        <v>66</v>
      </c>
      <c r="G6">
        <f t="shared" si="0"/>
        <v>72.8</v>
      </c>
    </row>
    <row r="7" spans="1:7" x14ac:dyDescent="0.3">
      <c r="A7" t="s">
        <v>24</v>
      </c>
      <c r="B7">
        <v>99</v>
      </c>
      <c r="C7">
        <v>68</v>
      </c>
      <c r="D7">
        <v>78</v>
      </c>
      <c r="E7">
        <v>98</v>
      </c>
      <c r="F7">
        <v>78</v>
      </c>
      <c r="G7">
        <f t="shared" si="0"/>
        <v>84.2</v>
      </c>
    </row>
    <row r="8" spans="1:7" x14ac:dyDescent="0.3">
      <c r="A8" t="s">
        <v>25</v>
      </c>
      <c r="B8">
        <v>100</v>
      </c>
      <c r="C8">
        <v>100</v>
      </c>
      <c r="D8">
        <v>100</v>
      </c>
      <c r="E8">
        <v>100</v>
      </c>
      <c r="F8">
        <v>100</v>
      </c>
      <c r="G8">
        <f t="shared" si="0"/>
        <v>100</v>
      </c>
    </row>
    <row r="9" spans="1:7" x14ac:dyDescent="0.3">
      <c r="A9" s="6" t="s">
        <v>29</v>
      </c>
      <c r="B9" s="7">
        <f>AVERAGE(B2:B8)</f>
        <v>99.142857142857139</v>
      </c>
      <c r="C9" s="7">
        <f t="shared" ref="C9:F9" si="1">AVERAGE(C2:C8)</f>
        <v>68.285714285714292</v>
      </c>
      <c r="D9" s="7">
        <f t="shared" si="1"/>
        <v>74.714285714285708</v>
      </c>
      <c r="E9" s="7">
        <f t="shared" si="1"/>
        <v>93.285714285714292</v>
      </c>
      <c r="F9" s="7">
        <f t="shared" si="1"/>
        <v>74.714285714285708</v>
      </c>
    </row>
  </sheetData>
  <phoneticPr fontId="2" type="noConversion"/>
  <conditionalFormatting sqref="G2:G8">
    <cfRule type="cellIs" dxfId="6" priority="3" operator="greaterThan">
      <formula>70</formula>
    </cfRule>
    <cfRule type="cellIs" dxfId="7" priority="2" operator="lessThan">
      <formula>69</formula>
    </cfRule>
    <cfRule type="cellIs" dxfId="8" priority="1" operator="equal"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1CB3-DA0B-4C4E-85E6-2B90DDEDA359}">
  <dimension ref="A1:D7"/>
  <sheetViews>
    <sheetView tabSelected="1" workbookViewId="0">
      <selection activeCell="F10" sqref="F10"/>
    </sheetView>
  </sheetViews>
  <sheetFormatPr baseColWidth="10" defaultRowHeight="14.4" x14ac:dyDescent="0.3"/>
  <cols>
    <col min="3" max="3" width="13" customWidth="1"/>
  </cols>
  <sheetData>
    <row r="1" spans="1:4" x14ac:dyDescent="0.3">
      <c r="A1" s="8" t="s">
        <v>6</v>
      </c>
      <c r="B1" s="8" t="s">
        <v>30</v>
      </c>
      <c r="C1" s="8" t="s">
        <v>31</v>
      </c>
      <c r="D1" s="8" t="s">
        <v>32</v>
      </c>
    </row>
    <row r="2" spans="1:4" x14ac:dyDescent="0.3">
      <c r="A2" s="3" t="s">
        <v>33</v>
      </c>
      <c r="B2" s="3">
        <v>15</v>
      </c>
      <c r="C2" s="3">
        <v>10</v>
      </c>
      <c r="D2" s="3">
        <v>500</v>
      </c>
    </row>
    <row r="3" spans="1:4" x14ac:dyDescent="0.3">
      <c r="A3" s="3" t="s">
        <v>34</v>
      </c>
      <c r="B3" s="3">
        <v>5</v>
      </c>
      <c r="C3" s="3">
        <v>8</v>
      </c>
      <c r="D3" s="3">
        <v>1200</v>
      </c>
    </row>
    <row r="4" spans="1:4" x14ac:dyDescent="0.3">
      <c r="A4" s="3" t="s">
        <v>35</v>
      </c>
      <c r="B4" s="3">
        <v>20</v>
      </c>
      <c r="C4" s="3">
        <v>15</v>
      </c>
      <c r="D4" s="3">
        <v>300</v>
      </c>
    </row>
    <row r="5" spans="1:4" x14ac:dyDescent="0.3">
      <c r="A5" s="3" t="s">
        <v>36</v>
      </c>
      <c r="B5" s="3">
        <v>7</v>
      </c>
      <c r="C5" s="3">
        <v>10</v>
      </c>
      <c r="D5" s="3">
        <v>950</v>
      </c>
    </row>
    <row r="6" spans="1:4" x14ac:dyDescent="0.3">
      <c r="A6" s="3" t="s">
        <v>37</v>
      </c>
      <c r="B6" s="3">
        <v>25</v>
      </c>
      <c r="C6" s="3">
        <v>20</v>
      </c>
      <c r="D6" s="3">
        <v>2500</v>
      </c>
    </row>
    <row r="7" spans="1:4" x14ac:dyDescent="0.3">
      <c r="A7" s="3" t="s">
        <v>38</v>
      </c>
      <c r="B7" s="3">
        <v>22</v>
      </c>
      <c r="C7" s="3">
        <v>5</v>
      </c>
      <c r="D7" s="3">
        <v>1800</v>
      </c>
    </row>
  </sheetData>
  <conditionalFormatting sqref="B2:B7">
    <cfRule type="cellIs" dxfId="4" priority="3" operator="greaterThan">
      <formula>9</formula>
    </cfRule>
    <cfRule type="cellIs" dxfId="3" priority="2" operator="lessThan">
      <formula>8</formula>
    </cfRule>
  </conditionalFormatting>
  <conditionalFormatting sqref="D2:D7">
    <cfRule type="cellIs" dxfId="0" priority="1" operator="greaterThan">
      <formula>1499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2026-04-26T13:17:16Z</dcterms:created>
  <dcterms:modified xsi:type="dcterms:W3CDTF">2026-04-26T15:45:58Z</dcterms:modified>
</cp:coreProperties>
</file>