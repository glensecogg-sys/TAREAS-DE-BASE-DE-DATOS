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C3CF3A6-C8EC-4A7C-A608-9425D698DCE4}" xr6:coauthVersionLast="47" xr6:coauthVersionMax="47" xr10:uidLastSave="{00000000-0000-0000-0000-000000000000}"/>
  <bookViews>
    <workbookView xWindow="-108" yWindow="-108" windowWidth="23256" windowHeight="12456" activeTab="4" xr2:uid="{E450555D-8157-4E46-B100-610DEF4C99E3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5" l="1"/>
  <c r="E7" i="5"/>
  <c r="G3" i="5"/>
  <c r="G4" i="5"/>
  <c r="G5" i="5"/>
  <c r="G2" i="5"/>
  <c r="F4" i="5"/>
  <c r="F5" i="5"/>
  <c r="F3" i="5"/>
  <c r="F2" i="5"/>
  <c r="E3" i="5"/>
  <c r="E4" i="5"/>
  <c r="E5" i="5"/>
  <c r="E2" i="5"/>
  <c r="C8" i="4"/>
  <c r="M3" i="4"/>
  <c r="M4" i="4"/>
  <c r="M5" i="4"/>
  <c r="M6" i="4"/>
  <c r="M7" i="4"/>
  <c r="M8" i="4"/>
  <c r="M2" i="4"/>
  <c r="L3" i="4"/>
  <c r="L4" i="4"/>
  <c r="L5" i="4"/>
  <c r="L6" i="4"/>
  <c r="L7" i="4"/>
  <c r="L8" i="4"/>
  <c r="L2" i="4"/>
  <c r="K3" i="4"/>
  <c r="K4" i="4"/>
  <c r="K5" i="4"/>
  <c r="K6" i="4"/>
  <c r="K7" i="4"/>
  <c r="K8" i="4"/>
  <c r="K2" i="4"/>
  <c r="J3" i="4"/>
  <c r="N3" i="4" s="1"/>
  <c r="J4" i="4"/>
  <c r="N4" i="4" s="1"/>
  <c r="J5" i="4"/>
  <c r="N5" i="4" s="1"/>
  <c r="J6" i="4"/>
  <c r="N6" i="4" s="1"/>
  <c r="J7" i="4"/>
  <c r="N7" i="4" s="1"/>
  <c r="J8" i="4"/>
  <c r="N8" i="4" s="1"/>
  <c r="J2" i="4"/>
  <c r="N2" i="4" s="1"/>
  <c r="C3" i="4"/>
  <c r="C4" i="4"/>
  <c r="C5" i="4"/>
  <c r="C6" i="4"/>
  <c r="C7" i="4"/>
  <c r="C2" i="4"/>
  <c r="C2" i="3"/>
  <c r="C3" i="3"/>
  <c r="C4" i="3"/>
  <c r="C5" i="3"/>
  <c r="C6" i="3"/>
  <c r="C7" i="3"/>
  <c r="C8" i="3"/>
  <c r="C2" i="2"/>
  <c r="C3" i="2"/>
  <c r="C4" i="2"/>
  <c r="C5" i="2"/>
  <c r="C6" i="2"/>
  <c r="C7" i="2"/>
  <c r="C8" i="2"/>
  <c r="C2" i="1"/>
  <c r="C3" i="1"/>
  <c r="C4" i="1"/>
  <c r="C5" i="1"/>
  <c r="C6" i="1"/>
  <c r="C7" i="1"/>
  <c r="C8" i="1"/>
</calcChain>
</file>

<file path=xl/sharedStrings.xml><?xml version="1.0" encoding="utf-8"?>
<sst xmlns="http://schemas.openxmlformats.org/spreadsheetml/2006/main" count="90" uniqueCount="70">
  <si>
    <t>ALUMNOS</t>
  </si>
  <si>
    <t>NOTAS</t>
  </si>
  <si>
    <t>UZIEL G.</t>
  </si>
  <si>
    <t>CAMIL M.</t>
  </si>
  <si>
    <t>LUIS A.</t>
  </si>
  <si>
    <t>ANTONIO P.</t>
  </si>
  <si>
    <t>FREDY L.</t>
  </si>
  <si>
    <t>GLEN S.</t>
  </si>
  <si>
    <t>KAREN J.</t>
  </si>
  <si>
    <t>APROBADO O REPROBADO</t>
  </si>
  <si>
    <t>PRODUCTO</t>
  </si>
  <si>
    <t>CANTIDAD DISPONIBLE</t>
  </si>
  <si>
    <t>LAPTOP DELL INSPIRON</t>
  </si>
  <si>
    <t>MOUSE INALAMBRICO</t>
  </si>
  <si>
    <t>TECLADOS INALAMBRICOS</t>
  </si>
  <si>
    <t>CABLES HDMI</t>
  </si>
  <si>
    <t>PROYECTOR EPSON</t>
  </si>
  <si>
    <t>IMPRESORA CANON</t>
  </si>
  <si>
    <t>IMPRESORA EPSON</t>
  </si>
  <si>
    <t>ALERTA</t>
  </si>
  <si>
    <t>EMPLEADO</t>
  </si>
  <si>
    <t>HORAS TRABAJADAS</t>
  </si>
  <si>
    <t>MERECE PAGO</t>
  </si>
  <si>
    <t>NOMBRE</t>
  </si>
  <si>
    <t>APELLIDO</t>
  </si>
  <si>
    <t>NOMBRE COMPELTO</t>
  </si>
  <si>
    <t>GARCIA</t>
  </si>
  <si>
    <t>MEJIA</t>
  </si>
  <si>
    <t>ALVARADO</t>
  </si>
  <si>
    <t>VARGAS</t>
  </si>
  <si>
    <t>LICONA</t>
  </si>
  <si>
    <t>SECOFF</t>
  </si>
  <si>
    <t>JACKSON</t>
  </si>
  <si>
    <t>UZIEL</t>
  </si>
  <si>
    <t>CAMIL</t>
  </si>
  <si>
    <t>LUIS</t>
  </si>
  <si>
    <t>ANTONIO</t>
  </si>
  <si>
    <t>FREDY</t>
  </si>
  <si>
    <t>KAREN</t>
  </si>
  <si>
    <t xml:space="preserve">LA CABRA </t>
  </si>
  <si>
    <t>LUNES</t>
  </si>
  <si>
    <t>MARTES</t>
  </si>
  <si>
    <t>MIERCOLES</t>
  </si>
  <si>
    <t xml:space="preserve">JUEVES </t>
  </si>
  <si>
    <t>VIERNES</t>
  </si>
  <si>
    <t>HORAS SEMANALES</t>
  </si>
  <si>
    <t>MAYOR HORA POR DIA</t>
  </si>
  <si>
    <t>MENOR HORA POR DIA</t>
  </si>
  <si>
    <t>PROMEDIO DE HORAS LABORADAS</t>
  </si>
  <si>
    <t>OBSERVACION</t>
  </si>
  <si>
    <t>CARGO</t>
  </si>
  <si>
    <t>JEFE</t>
  </si>
  <si>
    <t>TECNICO</t>
  </si>
  <si>
    <t>DEVOPS</t>
  </si>
  <si>
    <t>HACKER</t>
  </si>
  <si>
    <t>Producto</t>
  </si>
  <si>
    <t>Categoria</t>
  </si>
  <si>
    <t>Precio</t>
  </si>
  <si>
    <t>Cantidad Vendida</t>
  </si>
  <si>
    <t>Total Venta</t>
  </si>
  <si>
    <t>Venta Menor</t>
  </si>
  <si>
    <t>Codigo Producto</t>
  </si>
  <si>
    <t xml:space="preserve">Laptop </t>
  </si>
  <si>
    <t>Mouse</t>
  </si>
  <si>
    <t>Teclado</t>
  </si>
  <si>
    <t>Monitor</t>
  </si>
  <si>
    <t>Tecnologia</t>
  </si>
  <si>
    <t>Accesorios</t>
  </si>
  <si>
    <t xml:space="preserve">venta mayor 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</si>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</sst>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8F12-2C17-4886-A4E2-9C51C380DACE}">
  <dimension ref="A1:C8"/>
  <sheetViews>
    <sheetView workbookViewId="0">
      <selection activeCell="C3" sqref="C3"/>
    </sheetView>
  </sheetViews>
  <sheetFormatPr baseColWidth="10" defaultRowHeight="14.4" x14ac:dyDescent="0.3"/>
  <cols>
    <col min="3" max="3" width="23" customWidth="1"/>
  </cols>
  <sheetData>
    <row r="1" spans="1:3" x14ac:dyDescent="0.3">
      <c r="A1" s="4" t="s">
        <v>0</v>
      </c>
      <c r="B1" s="4" t="s">
        <v>1</v>
      </c>
      <c r="C1" s="1" t="s">
        <v>9</v>
      </c>
    </row>
    <row r="2" spans="1:3" x14ac:dyDescent="0.3">
      <c r="A2" s="5" t="s">
        <v>2</v>
      </c>
      <c r="B2" s="5">
        <v>30</v>
      </c>
      <c r="C2" s="5" t="str">
        <f>IF(B2&gt;=70,"APROBADO","REPROBADO")</f>
        <v>REPROBADO</v>
      </c>
    </row>
    <row r="3" spans="1:3" x14ac:dyDescent="0.3">
      <c r="A3" s="5" t="s">
        <v>3</v>
      </c>
      <c r="B3" s="5">
        <v>70</v>
      </c>
      <c r="C3" s="5" t="str">
        <f t="shared" ref="C3:C8" si="0">IF(B3&gt;=70,"APROBADO","REPROBADO")</f>
        <v>APROBADO</v>
      </c>
    </row>
    <row r="4" spans="1:3" x14ac:dyDescent="0.3">
      <c r="A4" s="5" t="s">
        <v>4</v>
      </c>
      <c r="B4" s="5">
        <v>78</v>
      </c>
      <c r="C4" s="5" t="str">
        <f t="shared" si="0"/>
        <v>APROBADO</v>
      </c>
    </row>
    <row r="5" spans="1:3" x14ac:dyDescent="0.3">
      <c r="A5" s="5" t="s">
        <v>5</v>
      </c>
      <c r="B5" s="5">
        <v>99</v>
      </c>
      <c r="C5" s="5" t="str">
        <f t="shared" si="0"/>
        <v>APROBADO</v>
      </c>
    </row>
    <row r="6" spans="1:3" x14ac:dyDescent="0.3">
      <c r="A6" s="5" t="s">
        <v>6</v>
      </c>
      <c r="B6" s="5">
        <v>44</v>
      </c>
      <c r="C6" s="5" t="str">
        <f t="shared" si="0"/>
        <v>REPROBADO</v>
      </c>
    </row>
    <row r="7" spans="1:3" x14ac:dyDescent="0.3">
      <c r="A7" s="5" t="s">
        <v>7</v>
      </c>
      <c r="B7" s="5">
        <v>65</v>
      </c>
      <c r="C7" s="5" t="str">
        <f t="shared" si="0"/>
        <v>REPROBADO</v>
      </c>
    </row>
    <row r="8" spans="1:3" x14ac:dyDescent="0.3">
      <c r="A8" s="5" t="s">
        <v>8</v>
      </c>
      <c r="B8" s="5">
        <v>90</v>
      </c>
      <c r="C8" s="5" t="str">
        <f t="shared" si="0"/>
        <v>APROBADO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D26E-B62E-456C-ADE0-CEDE4633BBBB}">
  <dimension ref="A1:C8"/>
  <sheetViews>
    <sheetView workbookViewId="0">
      <selection activeCell="C2" sqref="C2"/>
    </sheetView>
  </sheetViews>
  <sheetFormatPr baseColWidth="10" defaultRowHeight="14.4" x14ac:dyDescent="0.3"/>
  <cols>
    <col min="1" max="1" width="23.21875" customWidth="1"/>
    <col min="2" max="2" width="19.88671875" customWidth="1"/>
  </cols>
  <sheetData>
    <row r="1" spans="1:3" x14ac:dyDescent="0.3">
      <c r="A1" s="4" t="s">
        <v>10</v>
      </c>
      <c r="B1" s="4" t="s">
        <v>11</v>
      </c>
      <c r="C1" s="2" t="s">
        <v>19</v>
      </c>
    </row>
    <row r="2" spans="1:3" x14ac:dyDescent="0.3">
      <c r="A2" s="5" t="s">
        <v>12</v>
      </c>
      <c r="B2" s="5">
        <v>340</v>
      </c>
      <c r="C2" t="str">
        <f t="shared" ref="C2:C7" si="0">IF(B2&lt;100,"STOCK BAJO","STOCK ALTO")</f>
        <v>STOCK ALTO</v>
      </c>
    </row>
    <row r="3" spans="1:3" x14ac:dyDescent="0.3">
      <c r="A3" s="5" t="s">
        <v>13</v>
      </c>
      <c r="B3" s="5">
        <v>200</v>
      </c>
      <c r="C3" t="str">
        <f t="shared" si="0"/>
        <v>STOCK ALTO</v>
      </c>
    </row>
    <row r="4" spans="1:3" x14ac:dyDescent="0.3">
      <c r="A4" s="5" t="s">
        <v>14</v>
      </c>
      <c r="B4" s="5">
        <v>55</v>
      </c>
      <c r="C4" t="str">
        <f t="shared" si="0"/>
        <v>STOCK BAJO</v>
      </c>
    </row>
    <row r="5" spans="1:3" x14ac:dyDescent="0.3">
      <c r="A5" s="5" t="s">
        <v>15</v>
      </c>
      <c r="B5" s="5">
        <v>10</v>
      </c>
      <c r="C5" t="str">
        <f t="shared" si="0"/>
        <v>STOCK BAJO</v>
      </c>
    </row>
    <row r="6" spans="1:3" x14ac:dyDescent="0.3">
      <c r="A6" s="5" t="s">
        <v>16</v>
      </c>
      <c r="B6" s="5">
        <v>30</v>
      </c>
      <c r="C6" t="str">
        <f t="shared" si="0"/>
        <v>STOCK BAJO</v>
      </c>
    </row>
    <row r="7" spans="1:3" x14ac:dyDescent="0.3">
      <c r="A7" s="5" t="s">
        <v>17</v>
      </c>
      <c r="B7" s="5">
        <v>180</v>
      </c>
      <c r="C7" t="str">
        <f t="shared" si="0"/>
        <v>STOCK ALTO</v>
      </c>
    </row>
    <row r="8" spans="1:3" x14ac:dyDescent="0.3">
      <c r="A8" s="5" t="s">
        <v>18</v>
      </c>
      <c r="B8" s="5">
        <v>120</v>
      </c>
      <c r="C8" t="str">
        <f>IF(B8&lt;100,"STOCK BAJO","STOCK ALTO")</f>
        <v>STOCK ALTO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4212-9799-4E34-804A-9C3891A44D56}">
  <dimension ref="A1:C8"/>
  <sheetViews>
    <sheetView workbookViewId="0">
      <selection activeCell="C2" sqref="C2"/>
    </sheetView>
  </sheetViews>
  <sheetFormatPr baseColWidth="10" defaultRowHeight="14.4" x14ac:dyDescent="0.3"/>
  <cols>
    <col min="2" max="2" width="17.5546875" customWidth="1"/>
    <col min="3" max="3" width="16.109375" customWidth="1"/>
  </cols>
  <sheetData>
    <row r="1" spans="1:3" x14ac:dyDescent="0.3">
      <c r="A1" s="2" t="s">
        <v>20</v>
      </c>
      <c r="B1" s="2" t="s">
        <v>21</v>
      </c>
      <c r="C1" s="2" t="s">
        <v>22</v>
      </c>
    </row>
    <row r="2" spans="1:3" x14ac:dyDescent="0.3">
      <c r="A2" s="5" t="s">
        <v>2</v>
      </c>
      <c r="B2" s="3">
        <v>8</v>
      </c>
      <c r="C2" t="str">
        <f>IF(B2&gt;=8,"MERECE PAGO","NO MERECE PAGO")</f>
        <v>MERECE PAGO</v>
      </c>
    </row>
    <row r="3" spans="1:3" x14ac:dyDescent="0.3">
      <c r="A3" s="5" t="s">
        <v>3</v>
      </c>
      <c r="B3" s="3">
        <v>10</v>
      </c>
      <c r="C3" t="str">
        <f t="shared" ref="C3:C8" si="0">IF(B3&gt;=8,"MERECE PAGO","NO MERECE PAGO")</f>
        <v>MERECE PAGO</v>
      </c>
    </row>
    <row r="4" spans="1:3" x14ac:dyDescent="0.3">
      <c r="A4" s="5" t="s">
        <v>4</v>
      </c>
      <c r="B4" s="3">
        <v>5</v>
      </c>
      <c r="C4" t="str">
        <f t="shared" si="0"/>
        <v>NO MERECE PAGO</v>
      </c>
    </row>
    <row r="5" spans="1:3" x14ac:dyDescent="0.3">
      <c r="A5" s="5" t="s">
        <v>5</v>
      </c>
      <c r="B5" s="3">
        <v>4</v>
      </c>
      <c r="C5" t="str">
        <f t="shared" si="0"/>
        <v>NO MERECE PAGO</v>
      </c>
    </row>
    <row r="6" spans="1:3" x14ac:dyDescent="0.3">
      <c r="A6" s="5" t="s">
        <v>6</v>
      </c>
      <c r="B6" s="3">
        <v>10</v>
      </c>
      <c r="C6" t="str">
        <f t="shared" si="0"/>
        <v>MERECE PAGO</v>
      </c>
    </row>
    <row r="7" spans="1:3" x14ac:dyDescent="0.3">
      <c r="A7" s="5" t="s">
        <v>7</v>
      </c>
      <c r="B7" s="3">
        <v>12</v>
      </c>
      <c r="C7" t="str">
        <f t="shared" si="0"/>
        <v>MERECE PAGO</v>
      </c>
    </row>
    <row r="8" spans="1:3" x14ac:dyDescent="0.3">
      <c r="A8" s="5" t="s">
        <v>8</v>
      </c>
      <c r="B8" s="3">
        <v>8</v>
      </c>
      <c r="C8" t="str">
        <f t="shared" si="0"/>
        <v>MERECE PAGO</v>
      </c>
    </row>
  </sheetData>
  <conditionalFormatting sqref="C2:C8">
    <cfRule type="containsText" dxfId="15" priority="1" operator="containsText" text="NO MERECE PAGO">
      <formula>NOT(ISERROR(SEARCH("NO MERECE PAGO",C2)))</formula>
    </cfRule>
    <cfRule type="cellIs" dxfId="14" priority="2" operator="equal">
      <formula>"MERECE PAGO"</formula>
    </cfRule>
    <cfRule type="containsText" dxfId="13" priority="3" operator="containsText" text="MERECE PAGO">
      <formula>NOT(ISERROR(SEARCH("MERECE PAGO",C2)))</formula>
    </cfRule>
    <cfRule type="cellIs" dxfId="12" priority="4" operator="between">
      <formula>"NO MERECE PAGO"</formula>
      <formula>"MERECE PAGO"</formula>
    </cfRule>
    <cfRule type="duplicateValues" dxfId="11" priority="5"/>
    <cfRule type="containsText" dxfId="10" priority="6" operator="containsText" text="MERECE PAGO">
      <formula>NOT(ISERROR(SEARCH("MERECE PAGO",C2)))</formula>
    </cfRule>
    <cfRule type="cellIs" dxfId="9" priority="7" operator="lessThan">
      <formula>6</formula>
    </cfRule>
    <cfRule type="cellIs" dxfId="8" priority="8" operator="greaterThan">
      <formula>7</formula>
    </cfRule>
    <cfRule type="cellIs" dxfId="7" priority="9" operator="lessThan">
      <formula>7</formula>
    </cfRule>
    <cfRule type="cellIs" dxfId="6" priority="10" operator="greaterThan">
      <formula>8</formula>
    </cfRule>
    <cfRule type="cellIs" dxfId="5" priority="11" operator="greaterThan">
      <formula>"NO MERECE PAGO"</formula>
    </cfRule>
    <cfRule type="cellIs" dxfId="4" priority="12" operator="lessThan">
      <formula>"NO MERECE PAGO"</formula>
    </cfRule>
    <cfRule type="cellIs" dxfId="3" priority="13" operator="greaterThan">
      <formula>8</formula>
    </cfRule>
    <cfRule type="cellIs" dxfId="2" priority="14" operator="greaterThan">
      <formula>8</formula>
    </cfRule>
    <cfRule type="cellIs" dxfId="1" priority="15" operator="lessThan">
      <formula>7</formula>
    </cfRule>
    <cfRule type="cellIs" dxfId="0" priority="16" operator="greaterThan">
      <formula>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52B6-BE7C-496B-9C68-A7822B16EF0B}">
  <dimension ref="A1:N18"/>
  <sheetViews>
    <sheetView topLeftCell="D1" workbookViewId="0">
      <selection activeCell="N3" sqref="N3"/>
    </sheetView>
  </sheetViews>
  <sheetFormatPr baseColWidth="10" defaultRowHeight="14.4" x14ac:dyDescent="0.3"/>
  <cols>
    <col min="3" max="4" width="18.33203125" customWidth="1"/>
    <col min="10" max="10" width="17.33203125" customWidth="1"/>
    <col min="11" max="11" width="19.6640625" customWidth="1"/>
    <col min="12" max="12" width="20.5546875" customWidth="1"/>
    <col min="14" max="14" width="19.5546875" customWidth="1"/>
  </cols>
  <sheetData>
    <row r="1" spans="1:14" ht="43.2" x14ac:dyDescent="0.3">
      <c r="A1" s="4" t="s">
        <v>23</v>
      </c>
      <c r="B1" s="4" t="s">
        <v>24</v>
      </c>
      <c r="C1" s="6" t="s">
        <v>25</v>
      </c>
      <c r="D1" s="4" t="s">
        <v>50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9" t="s">
        <v>45</v>
      </c>
      <c r="K1" s="2" t="s">
        <v>46</v>
      </c>
      <c r="L1" s="9" t="s">
        <v>47</v>
      </c>
      <c r="M1" s="7" t="s">
        <v>48</v>
      </c>
      <c r="N1" s="6" t="s">
        <v>49</v>
      </c>
    </row>
    <row r="2" spans="1:14" x14ac:dyDescent="0.3">
      <c r="A2" s="5" t="s">
        <v>33</v>
      </c>
      <c r="B2" s="3" t="s">
        <v>26</v>
      </c>
      <c r="C2" t="str">
        <f>_xlfn.CONCAT(A2," ",B2)</f>
        <v>UZIEL GARCIA</v>
      </c>
      <c r="D2" t="s">
        <v>51</v>
      </c>
      <c r="E2" s="3">
        <v>8</v>
      </c>
      <c r="F2" s="3">
        <v>13</v>
      </c>
      <c r="G2" s="3">
        <v>13</v>
      </c>
      <c r="H2" s="3">
        <v>12</v>
      </c>
      <c r="I2" s="3">
        <v>12</v>
      </c>
      <c r="J2">
        <f>SUM(E2+F2+G2+H2+I2)</f>
        <v>58</v>
      </c>
      <c r="K2">
        <f>MAX(E2:I2)</f>
        <v>13</v>
      </c>
      <c r="L2">
        <f>MIN(E2:I2)</f>
        <v>8</v>
      </c>
      <c r="M2" s="8">
        <f>AVERAGE(E2:I2)</f>
        <v>11.6</v>
      </c>
      <c r="N2" s="3" t="str">
        <f>IF(J2&gt;=40,"META ALCANZADA","META NO ALCANZADA")</f>
        <v>META ALCANZADA</v>
      </c>
    </row>
    <row r="3" spans="1:14" x14ac:dyDescent="0.3">
      <c r="A3" s="5" t="s">
        <v>34</v>
      </c>
      <c r="B3" s="3" t="s">
        <v>27</v>
      </c>
      <c r="C3" t="str">
        <f>_xlfn.CONCAT(A3," ",B3)</f>
        <v>CAMIL MEJIA</v>
      </c>
      <c r="D3" t="s">
        <v>53</v>
      </c>
      <c r="E3" s="3">
        <v>8</v>
      </c>
      <c r="F3" s="3">
        <v>12</v>
      </c>
      <c r="G3" s="3">
        <v>12</v>
      </c>
      <c r="H3" s="3">
        <v>12</v>
      </c>
      <c r="I3" s="3">
        <v>12</v>
      </c>
      <c r="J3">
        <f t="shared" ref="J3:J8" si="0">SUM(E3+F3+G3+H3+I3)</f>
        <v>56</v>
      </c>
      <c r="K3">
        <f t="shared" ref="K3:K8" si="1">MAX(E3:I3)</f>
        <v>12</v>
      </c>
      <c r="L3">
        <f t="shared" ref="L3:L8" si="2">MIN(E3:I3)</f>
        <v>8</v>
      </c>
      <c r="M3" s="8">
        <f t="shared" ref="M3:M8" si="3">AVERAGE(E3:I3)</f>
        <v>11.2</v>
      </c>
      <c r="N3" s="3" t="str">
        <f t="shared" ref="N3:N8" si="4">IF(J3&gt;=40,"META ALCANZADA","META NO ALCANZADA")</f>
        <v>META ALCANZADA</v>
      </c>
    </row>
    <row r="4" spans="1:14" x14ac:dyDescent="0.3">
      <c r="A4" s="5" t="s">
        <v>35</v>
      </c>
      <c r="B4" s="3" t="s">
        <v>28</v>
      </c>
      <c r="C4" t="str">
        <f>_xlfn.CONCAT(A4," ",B4)</f>
        <v>LUIS ALVARADO</v>
      </c>
      <c r="D4" t="s">
        <v>52</v>
      </c>
      <c r="E4" s="3">
        <v>3</v>
      </c>
      <c r="F4" s="3">
        <v>10</v>
      </c>
      <c r="G4" s="3">
        <v>10</v>
      </c>
      <c r="H4" s="3">
        <v>3</v>
      </c>
      <c r="I4" s="3">
        <v>3</v>
      </c>
      <c r="J4">
        <f t="shared" si="0"/>
        <v>29</v>
      </c>
      <c r="K4">
        <f t="shared" si="1"/>
        <v>10</v>
      </c>
      <c r="L4">
        <f t="shared" si="2"/>
        <v>3</v>
      </c>
      <c r="M4" s="8">
        <f t="shared" si="3"/>
        <v>5.8</v>
      </c>
      <c r="N4" s="3" t="str">
        <f t="shared" si="4"/>
        <v>META NO ALCANZADA</v>
      </c>
    </row>
    <row r="5" spans="1:14" x14ac:dyDescent="0.3">
      <c r="A5" s="5" t="s">
        <v>36</v>
      </c>
      <c r="B5" s="3" t="s">
        <v>29</v>
      </c>
      <c r="C5" t="str">
        <f>_xlfn.CONCAT(A5," ",B5)</f>
        <v>ANTONIO VARGAS</v>
      </c>
      <c r="D5" t="s">
        <v>54</v>
      </c>
      <c r="E5" s="3">
        <v>8</v>
      </c>
      <c r="F5" s="3">
        <v>5</v>
      </c>
      <c r="G5" s="3">
        <v>5</v>
      </c>
      <c r="H5" s="3">
        <v>4</v>
      </c>
      <c r="I5" s="3">
        <v>4</v>
      </c>
      <c r="J5">
        <f t="shared" si="0"/>
        <v>26</v>
      </c>
      <c r="K5">
        <f t="shared" si="1"/>
        <v>8</v>
      </c>
      <c r="L5">
        <f t="shared" si="2"/>
        <v>4</v>
      </c>
      <c r="M5" s="8">
        <f t="shared" si="3"/>
        <v>5.2</v>
      </c>
      <c r="N5" s="3" t="str">
        <f t="shared" si="4"/>
        <v>META NO ALCANZADA</v>
      </c>
    </row>
    <row r="6" spans="1:14" x14ac:dyDescent="0.3">
      <c r="A6" s="5" t="s">
        <v>37</v>
      </c>
      <c r="B6" s="3" t="s">
        <v>30</v>
      </c>
      <c r="C6" t="str">
        <f>_xlfn.CONCAT(A6," ",B6)</f>
        <v>FREDY LICONA</v>
      </c>
      <c r="D6" t="s">
        <v>54</v>
      </c>
      <c r="E6" s="3">
        <v>8</v>
      </c>
      <c r="F6" s="3">
        <v>5</v>
      </c>
      <c r="G6" s="3">
        <v>5</v>
      </c>
      <c r="H6" s="3">
        <v>1</v>
      </c>
      <c r="I6" s="3">
        <v>1</v>
      </c>
      <c r="J6">
        <f t="shared" si="0"/>
        <v>20</v>
      </c>
      <c r="K6">
        <f t="shared" si="1"/>
        <v>8</v>
      </c>
      <c r="L6">
        <f t="shared" si="2"/>
        <v>1</v>
      </c>
      <c r="M6" s="8">
        <f t="shared" si="3"/>
        <v>4</v>
      </c>
      <c r="N6" s="3" t="str">
        <f t="shared" si="4"/>
        <v>META NO ALCANZADA</v>
      </c>
    </row>
    <row r="7" spans="1:14" x14ac:dyDescent="0.3">
      <c r="A7" s="5" t="s">
        <v>39</v>
      </c>
      <c r="B7" s="3" t="s">
        <v>31</v>
      </c>
      <c r="C7" t="str">
        <f>_xlfn.CONCAT(A7," ",B7)</f>
        <v>LA CABRA  SECOFF</v>
      </c>
      <c r="D7" t="s">
        <v>52</v>
      </c>
      <c r="E7" s="3">
        <v>8</v>
      </c>
      <c r="F7" s="3">
        <v>7</v>
      </c>
      <c r="G7" s="3">
        <v>7</v>
      </c>
      <c r="H7" s="3">
        <v>4</v>
      </c>
      <c r="I7" s="3">
        <v>4</v>
      </c>
      <c r="J7">
        <f t="shared" si="0"/>
        <v>30</v>
      </c>
      <c r="K7">
        <f t="shared" si="1"/>
        <v>8</v>
      </c>
      <c r="L7">
        <f t="shared" si="2"/>
        <v>4</v>
      </c>
      <c r="M7" s="8">
        <f t="shared" si="3"/>
        <v>6</v>
      </c>
      <c r="N7" s="3" t="str">
        <f t="shared" si="4"/>
        <v>META NO ALCANZADA</v>
      </c>
    </row>
    <row r="8" spans="1:14" x14ac:dyDescent="0.3">
      <c r="A8" s="5" t="s">
        <v>38</v>
      </c>
      <c r="B8" s="3" t="s">
        <v>32</v>
      </c>
      <c r="C8" t="str">
        <f>_xlfn.CONCAT(A8," ",B8)</f>
        <v>KAREN JACKSON</v>
      </c>
      <c r="D8" t="s">
        <v>52</v>
      </c>
      <c r="E8" s="3">
        <v>8</v>
      </c>
      <c r="F8" s="3">
        <v>8</v>
      </c>
      <c r="G8" s="3">
        <v>8</v>
      </c>
      <c r="H8" s="3">
        <v>12</v>
      </c>
      <c r="I8" s="3">
        <v>12</v>
      </c>
      <c r="J8">
        <f t="shared" si="0"/>
        <v>48</v>
      </c>
      <c r="K8">
        <f t="shared" si="1"/>
        <v>12</v>
      </c>
      <c r="L8">
        <f t="shared" si="2"/>
        <v>8</v>
      </c>
      <c r="M8" s="8">
        <f t="shared" si="3"/>
        <v>9.6</v>
      </c>
      <c r="N8" s="3" t="str">
        <f t="shared" si="4"/>
        <v>META ALCANZADA</v>
      </c>
    </row>
    <row r="11" spans="1:14" x14ac:dyDescent="0.3">
      <c r="A11" s="4" t="s">
        <v>50</v>
      </c>
    </row>
    <row r="12" spans="1:14" x14ac:dyDescent="0.3">
      <c r="A12" t="s">
        <v>51</v>
      </c>
    </row>
    <row r="13" spans="1:14" x14ac:dyDescent="0.3">
      <c r="A13" t="s">
        <v>52</v>
      </c>
    </row>
    <row r="14" spans="1:14" x14ac:dyDescent="0.3">
      <c r="A14" t="s">
        <v>53</v>
      </c>
    </row>
    <row r="15" spans="1:14" x14ac:dyDescent="0.3">
      <c r="A15" t="s">
        <v>54</v>
      </c>
    </row>
    <row r="16" spans="1:14" x14ac:dyDescent="0.3">
      <c r="A16" t="s">
        <v>52</v>
      </c>
    </row>
    <row r="17" spans="1:1" x14ac:dyDescent="0.3">
      <c r="A17" t="s">
        <v>52</v>
      </c>
    </row>
    <row r="18" spans="1:1" x14ac:dyDescent="0.3">
      <c r="A18" t="s">
        <v>52</v>
      </c>
    </row>
  </sheetData>
  <dataValidations count="1">
    <dataValidation type="list" allowBlank="1" showInputMessage="1" showErrorMessage="1" sqref="D2:D8" xr:uid="{57D467E7-D33D-4F55-A684-6FB73C44D2BF}">
      <formula1>$A$12:$A$18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E886-9902-4ACA-A08A-5E754C53CD6D}">
  <dimension ref="A1:G12"/>
  <sheetViews>
    <sheetView tabSelected="1" workbookViewId="0">
      <selection activeCell="G2" sqref="G2"/>
    </sheetView>
  </sheetViews>
  <sheetFormatPr baseColWidth="10" defaultRowHeight="14.4" x14ac:dyDescent="0.3"/>
  <cols>
    <col min="6" max="6" width="18" customWidth="1"/>
  </cols>
  <sheetData>
    <row r="1" spans="1:7" ht="28.8" x14ac:dyDescent="0.3">
      <c r="A1" s="10" t="s">
        <v>55</v>
      </c>
      <c r="B1" s="10" t="s">
        <v>56</v>
      </c>
      <c r="C1" s="10" t="s">
        <v>57</v>
      </c>
      <c r="D1" s="11" t="s">
        <v>58</v>
      </c>
      <c r="E1" s="12" t="s">
        <v>59</v>
      </c>
      <c r="F1" s="12" t="s">
        <v>61</v>
      </c>
      <c r="G1" s="10" t="s">
        <v>69</v>
      </c>
    </row>
    <row r="2" spans="1:7" x14ac:dyDescent="0.3">
      <c r="A2" t="s">
        <v>62</v>
      </c>
      <c r="B2" t="s">
        <v>66</v>
      </c>
      <c r="C2">
        <v>18000</v>
      </c>
      <c r="D2">
        <v>2</v>
      </c>
      <c r="E2">
        <f>C2*D2</f>
        <v>36000</v>
      </c>
      <c r="F2" t="str">
        <f>_xlfn.CONCAT(A2,"- ",B2)</f>
        <v>Laptop - Tecnologia</v>
      </c>
      <c r="G2" t="str">
        <f>IF(E2&gt;5000,"Alta","Normal")</f>
        <v>Alta</v>
      </c>
    </row>
    <row r="3" spans="1:7" x14ac:dyDescent="0.3">
      <c r="A3" t="s">
        <v>63</v>
      </c>
      <c r="B3" t="s">
        <v>67</v>
      </c>
      <c r="C3">
        <v>450</v>
      </c>
      <c r="D3">
        <v>5</v>
      </c>
      <c r="E3">
        <f t="shared" ref="E3:E5" si="0">C3*D3</f>
        <v>2250</v>
      </c>
      <c r="F3" t="str">
        <f>_xlfn.CONCAT(A3," - ",B3)</f>
        <v>Mouse - Accesorios</v>
      </c>
      <c r="G3" t="str">
        <f t="shared" ref="G3:G5" si="1">IF(E3&gt;5000,"Alta","Normal")</f>
        <v>Normal</v>
      </c>
    </row>
    <row r="4" spans="1:7" x14ac:dyDescent="0.3">
      <c r="A4" t="s">
        <v>64</v>
      </c>
      <c r="B4" t="s">
        <v>67</v>
      </c>
      <c r="C4">
        <v>1200</v>
      </c>
      <c r="D4">
        <v>3</v>
      </c>
      <c r="E4">
        <f t="shared" si="0"/>
        <v>3600</v>
      </c>
      <c r="F4" t="str">
        <f t="shared" ref="F4:F5" si="2">_xlfn.CONCAT(A4," - ",B4)</f>
        <v>Teclado - Accesorios</v>
      </c>
      <c r="G4" t="str">
        <f t="shared" si="1"/>
        <v>Normal</v>
      </c>
    </row>
    <row r="5" spans="1:7" x14ac:dyDescent="0.3">
      <c r="A5" t="s">
        <v>65</v>
      </c>
      <c r="B5" t="s">
        <v>66</v>
      </c>
      <c r="C5">
        <v>5500</v>
      </c>
      <c r="D5">
        <v>1</v>
      </c>
      <c r="E5">
        <f t="shared" si="0"/>
        <v>5500</v>
      </c>
      <c r="F5" t="str">
        <f t="shared" si="2"/>
        <v>Monitor - Tecnologia</v>
      </c>
      <c r="G5" t="str">
        <f t="shared" si="1"/>
        <v>Alta</v>
      </c>
    </row>
    <row r="6" spans="1:7" x14ac:dyDescent="0.3">
      <c r="E6" t="s">
        <v>68</v>
      </c>
    </row>
    <row r="7" spans="1:7" x14ac:dyDescent="0.3">
      <c r="E7">
        <f>MAX(E2:E5)</f>
        <v>36000</v>
      </c>
    </row>
    <row r="8" spans="1:7" x14ac:dyDescent="0.3">
      <c r="E8" t="s">
        <v>60</v>
      </c>
    </row>
    <row r="9" spans="1:7" x14ac:dyDescent="0.3">
      <c r="E9">
        <f>MIN(E2:E5)</f>
        <v>2250</v>
      </c>
    </row>
    <row r="10" spans="1:7" x14ac:dyDescent="0.3">
      <c r="G10" s="13"/>
    </row>
    <row r="12" spans="1:7" x14ac:dyDescent="0.3">
      <c r="A12" s="5"/>
      <c r="C12" s="5"/>
    </row>
  </sheetData>
  <dataValidations count="1">
    <dataValidation type="list" allowBlank="1" showInputMessage="1" showErrorMessage="1" sqref="B2:B5" xr:uid="{5D04B5A3-83E3-4F17-B8B7-DF22D077DA5B}">
      <formula1>$A$13:$A$16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2026-05-10T13:25:23Z</dcterms:created>
  <dcterms:modified xsi:type="dcterms:W3CDTF">2026-05-10T15:40:06Z</dcterms:modified>
</cp:coreProperties>
</file>