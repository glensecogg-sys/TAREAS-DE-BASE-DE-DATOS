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452AB1D-495A-45AF-8598-21F75E3E8002}" xr6:coauthVersionLast="47" xr6:coauthVersionMax="47" xr10:uidLastSave="{00000000-0000-0000-0000-000000000000}"/>
  <bookViews>
    <workbookView xWindow="-108" yWindow="-108" windowWidth="23256" windowHeight="12456" xr2:uid="{320A9CF9-A0A9-4F35-AF51-68759E95F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1" i="1"/>
  <c r="B12" i="1"/>
  <c r="B11" i="1"/>
  <c r="E2" i="1"/>
  <c r="E3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<sst xmlns="http://schemas.openxmlformats.org/spreadsheetml/2006/main" count="35" uniqueCount="18">
  <si>
    <t>Producto</t>
  </si>
  <si>
    <t>Laptop</t>
  </si>
  <si>
    <t>Mouse</t>
  </si>
  <si>
    <t>Camisa</t>
  </si>
  <si>
    <t>Zapatos</t>
  </si>
  <si>
    <t>Celular</t>
  </si>
  <si>
    <t>Pantalon</t>
  </si>
  <si>
    <t>Tablet</t>
  </si>
  <si>
    <t>Categoria</t>
  </si>
  <si>
    <t>Tecnologia</t>
  </si>
  <si>
    <t>Ropa</t>
  </si>
  <si>
    <t>Vendedor</t>
  </si>
  <si>
    <t>Ana</t>
  </si>
  <si>
    <t>Luis</t>
  </si>
  <si>
    <t>Carlos</t>
  </si>
  <si>
    <t>Ventas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</si>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</sst>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7"/>
      <name val="Arial Black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3FC9-BA46-4559-BBCD-5D20BF2D3937}">
  <dimension ref="A1:E13"/>
  <sheetViews>
    <sheetView tabSelected="1" workbookViewId="0">
      <selection activeCell="D23" sqref="D23"/>
    </sheetView>
  </sheetViews>
  <sheetFormatPr baseColWidth="10" defaultRowHeight="14.4" x14ac:dyDescent="0.3"/>
  <cols>
    <col min="5" max="5" width="17.21875" customWidth="1"/>
  </cols>
  <sheetData>
    <row r="1" spans="1:5" ht="17.399999999999999" x14ac:dyDescent="0.3">
      <c r="A1" s="1" t="s">
        <v>0</v>
      </c>
      <c r="B1" s="1" t="s">
        <v>8</v>
      </c>
      <c r="C1" s="1" t="s">
        <v>11</v>
      </c>
      <c r="D1" s="1" t="s">
        <v>15</v>
      </c>
      <c r="E1" s="1" t="s">
        <v>16</v>
      </c>
    </row>
    <row r="2" spans="1:5" x14ac:dyDescent="0.3">
      <c r="A2" s="2" t="s">
        <v>1</v>
      </c>
      <c r="B2" s="2" t="s">
        <v>9</v>
      </c>
      <c r="C2" s="2" t="s">
        <v>12</v>
      </c>
      <c r="D2" s="2">
        <v>15000</v>
      </c>
      <c r="E2" s="2" t="str">
        <f>IF(D2&gt;=5000,"Meta Alcanzada","Venta Baja")</f>
        <v>Meta Alcanzada</v>
      </c>
    </row>
    <row r="3" spans="1:5" x14ac:dyDescent="0.3">
      <c r="A3" s="2" t="s">
        <v>2</v>
      </c>
      <c r="B3" s="2" t="s">
        <v>9</v>
      </c>
      <c r="C3" s="2" t="s">
        <v>13</v>
      </c>
      <c r="D3" s="2">
        <v>1200</v>
      </c>
      <c r="E3" s="2" t="str">
        <f>IF(D3&gt;=5000,"Meta Alcanzada","Venta Baja")</f>
        <v>Venta Baja</v>
      </c>
    </row>
    <row r="4" spans="1:5" x14ac:dyDescent="0.3">
      <c r="A4" s="2" t="s">
        <v>3</v>
      </c>
      <c r="B4" s="2" t="s">
        <v>10</v>
      </c>
      <c r="C4" s="2" t="s">
        <v>12</v>
      </c>
      <c r="D4" s="2">
        <v>800</v>
      </c>
      <c r="E4" s="2" t="str">
        <f>IF(D4&gt;=5000,"Meta Alcanzada","Venta Baja")</f>
        <v>Venta Baja</v>
      </c>
    </row>
    <row r="5" spans="1:5" x14ac:dyDescent="0.3">
      <c r="A5" s="2" t="s">
        <v>4</v>
      </c>
      <c r="B5" s="2" t="s">
        <v>10</v>
      </c>
      <c r="C5" s="2" t="s">
        <v>14</v>
      </c>
      <c r="D5" s="2">
        <v>2500</v>
      </c>
      <c r="E5" s="2" t="str">
        <f>IF(D5&gt;=5000,"Meta Alcanzada","Venta Baja")</f>
        <v>Venta Baja</v>
      </c>
    </row>
    <row r="6" spans="1:5" x14ac:dyDescent="0.3">
      <c r="A6" s="2" t="s">
        <v>5</v>
      </c>
      <c r="B6" s="2" t="s">
        <v>9</v>
      </c>
      <c r="C6" s="2" t="s">
        <v>13</v>
      </c>
      <c r="D6" s="2">
        <v>9500</v>
      </c>
      <c r="E6" s="2" t="str">
        <f>IF(D6&gt;=5000,"Meta Alcanzada","Venta Baja")</f>
        <v>Meta Alcanzada</v>
      </c>
    </row>
    <row r="7" spans="1:5" x14ac:dyDescent="0.3">
      <c r="A7" s="2" t="s">
        <v>6</v>
      </c>
      <c r="B7" s="2" t="s">
        <v>10</v>
      </c>
      <c r="C7" s="2" t="s">
        <v>14</v>
      </c>
      <c r="D7" s="2">
        <v>1800</v>
      </c>
      <c r="E7" s="2" t="str">
        <f>IF(D7&gt;=5000,"Meta Alcanzada","Venta Baja")</f>
        <v>Venta Baja</v>
      </c>
    </row>
    <row r="8" spans="1:5" x14ac:dyDescent="0.3">
      <c r="A8" s="2" t="s">
        <v>7</v>
      </c>
      <c r="B8" s="2" t="s">
        <v>9</v>
      </c>
      <c r="C8" s="2" t="s">
        <v>12</v>
      </c>
      <c r="D8" s="2">
        <v>7200</v>
      </c>
      <c r="E8" s="2" t="str">
        <f>IF(D8&gt;=5000,"Meta Alcanzada","Venta Baja")</f>
        <v>Meta Alcanzada</v>
      </c>
    </row>
    <row r="10" spans="1:5" ht="17.399999999999999" x14ac:dyDescent="0.45">
      <c r="A10" s="1" t="s">
        <v>8</v>
      </c>
      <c r="B10" s="1" t="s">
        <v>17</v>
      </c>
      <c r="D10" s="3" t="s">
        <v>11</v>
      </c>
      <c r="E10" s="3" t="s">
        <v>17</v>
      </c>
    </row>
    <row r="11" spans="1:5" x14ac:dyDescent="0.3">
      <c r="A11" s="2" t="s">
        <v>9</v>
      </c>
      <c r="B11" s="2">
        <f>SUMIF(B2:B8,"Tecnologia",D2:D8)</f>
        <v>32900</v>
      </c>
      <c r="D11" s="4" t="s">
        <v>12</v>
      </c>
      <c r="E11" s="4">
        <f>SUMIF(C2:C8,"Ana",D2:D8)</f>
        <v>23000</v>
      </c>
    </row>
    <row r="12" spans="1:5" x14ac:dyDescent="0.3">
      <c r="A12" s="2" t="s">
        <v>10</v>
      </c>
      <c r="B12" s="2">
        <f>SUMIF(B3:B9,"Tecnologia",D3:D9)</f>
        <v>17900</v>
      </c>
      <c r="D12" s="4" t="s">
        <v>13</v>
      </c>
      <c r="E12" s="4">
        <f>SUMIF(C3:C9,"Luis",D3:D9)</f>
        <v>10700</v>
      </c>
    </row>
    <row r="13" spans="1:5" x14ac:dyDescent="0.3">
      <c r="D13" s="4" t="s">
        <v>14</v>
      </c>
      <c r="E13" s="4">
        <f>SUMIF(C4:C10,"Carlos",D4:D10)</f>
        <v>4300</v>
      </c>
    </row>
  </sheetData>
  <conditionalFormatting sqref="D2:D8">
    <cfRule type="cellIs" dxfId="0" priority="3" operator="greaterThan">
      <formula>5000</formula>
    </cfRule>
    <cfRule type="cellIs" dxfId="1" priority="2" operator="lessThan">
      <formula>2000</formula>
    </cfRule>
    <cfRule type="cellIs" dxfId="2" priority="1" operator="greaterThan">
      <formula>2499</formula>
    </cfRule>
  </conditionalFormatting>
  <dataValidations count="2">
    <dataValidation type="list" allowBlank="1" showInputMessage="1" showErrorMessage="1" sqref="B2:B8" xr:uid="{5AD37C29-DA89-483A-B3EB-DD646F9D38F7}">
      <formula1>$A$10:$A$11</formula1>
    </dataValidation>
    <dataValidation type="list" allowBlank="1" showInputMessage="1" showErrorMessage="1" sqref="C2:C8" xr:uid="{C8DE50CD-3F02-4941-8657-1B055B31EE0A}">
      <formula1>$D$11:$D$13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2026-05-17T14:59:34Z</dcterms:created>
  <dcterms:modified xsi:type="dcterms:W3CDTF">2026-05-17T15:28:27Z</dcterms:modified>
</cp:coreProperties>
</file>