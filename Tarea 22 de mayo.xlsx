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B537E25-1BDC-4CC4-B8E8-91A2976184AD}" xr6:coauthVersionLast="47" xr6:coauthVersionMax="47" xr10:uidLastSave="{00000000-0000-0000-0000-000000000000}"/>
  <bookViews>
    <workbookView xWindow="-108" yWindow="-108" windowWidth="23256" windowHeight="12456" xr2:uid="{E7C95C0C-539B-4B8C-8869-76A5B9AC6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B15" i="1"/>
  <c r="B16" i="1"/>
  <c r="B17" i="1"/>
  <c r="B14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<sst xmlns="http://schemas.openxmlformats.org/spreadsheetml/2006/main" count="70" uniqueCount="40">
  <si>
    <t>Codigo</t>
  </si>
  <si>
    <t>Producto</t>
  </si>
  <si>
    <t>Categoria</t>
  </si>
  <si>
    <t>Empleado</t>
  </si>
  <si>
    <t>Metodo Pago</t>
  </si>
  <si>
    <t>Cantidad</t>
  </si>
  <si>
    <t>Precio</t>
  </si>
  <si>
    <t>Total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</si>
  <si>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</si>
  <si>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</si>
  <si>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</si>
  <si>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</si>
  <si>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</si>
  <si>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</si>
  <si>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</si>
  <si>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</si>
  <si>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</si>
  <si>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</si>
  <si>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Arroz</t>
  </si>
  <si>
    <t>Leche</t>
  </si>
  <si>
    <t>Camisa</t>
  </si>
  <si>
    <t>Laptop</t>
  </si>
  <si>
    <t>Mouse</t>
  </si>
  <si>
    <t>Zapatos</t>
  </si>
  <si>
    <t>Tablet</t>
  </si>
  <si>
    <t>Refresco</t>
  </si>
  <si>
    <t>Café</t>
  </si>
  <si>
    <t>Azucar</t>
  </si>
  <si>
    <t>Alimentos</t>
  </si>
  <si>
    <t>Ropa</t>
  </si>
  <si>
    <t>Tecnologia</t>
  </si>
  <si>
    <t>Bebidas</t>
  </si>
  <si>
    <t>Ana</t>
  </si>
  <si>
    <t>Luis</t>
  </si>
  <si>
    <t>Carlos</t>
  </si>
  <si>
    <t>Efectivo</t>
  </si>
  <si>
    <t>Tarjeta</t>
  </si>
  <si>
    <t>Transferencia</t>
  </si>
  <si>
    <t>Estado</t>
  </si>
  <si>
    <t>Total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</si>
</sst>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Arial Black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9FDD-1778-47E5-8B11-5186907B6A6F}">
  <dimension ref="A1:I17"/>
  <sheetViews>
    <sheetView tabSelected="1" workbookViewId="0">
      <selection activeCell="F20" sqref="F20"/>
    </sheetView>
  </sheetViews>
  <sheetFormatPr baseColWidth="10" defaultRowHeight="14.4" x14ac:dyDescent="0.3"/>
  <cols>
    <col min="5" max="5" width="16.5546875" customWidth="1"/>
  </cols>
  <sheetData>
    <row r="1" spans="1:9" ht="17.39999999999999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38</v>
      </c>
    </row>
    <row r="2" spans="1:9" x14ac:dyDescent="0.3">
      <c r="A2" s="3" t="s">
        <v>8</v>
      </c>
      <c r="B2" s="3" t="s">
        <v>18</v>
      </c>
      <c r="C2" s="3" t="s">
        <v>28</v>
      </c>
      <c r="D2" s="3" t="s">
        <v>32</v>
      </c>
      <c r="E2" s="3" t="s">
        <v>35</v>
      </c>
      <c r="F2" s="3">
        <v>3</v>
      </c>
      <c r="G2" s="3">
        <v>45</v>
      </c>
      <c r="H2" s="3">
        <f>F2*G2</f>
        <v>135</v>
      </c>
      <c r="I2" s="3" t="str">
        <f>IF(H2&gt;=5000,"Excelente",IF(H2&gt;=1000,"Buena","Baja"))</f>
        <v>Baja</v>
      </c>
    </row>
    <row r="3" spans="1:9" x14ac:dyDescent="0.3">
      <c r="A3" s="3" t="s">
        <v>9</v>
      </c>
      <c r="B3" s="3" t="s">
        <v>19</v>
      </c>
      <c r="C3" s="3" t="s">
        <v>28</v>
      </c>
      <c r="D3" s="3" t="s">
        <v>33</v>
      </c>
      <c r="E3" s="3" t="s">
        <v>36</v>
      </c>
      <c r="F3" s="3">
        <v>5</v>
      </c>
      <c r="G3" s="3">
        <v>38</v>
      </c>
      <c r="H3" s="3">
        <f t="shared" ref="H3:H11" si="0">F3*G3</f>
        <v>190</v>
      </c>
      <c r="I3" s="3" t="str">
        <f t="shared" ref="I3:I11" si="1">IF(H3&gt;=5000,"Excelente",IF(H3&gt;=1000,"Buena","Baja"))</f>
        <v>Baja</v>
      </c>
    </row>
    <row r="4" spans="1:9" x14ac:dyDescent="0.3">
      <c r="A4" s="3" t="s">
        <v>10</v>
      </c>
      <c r="B4" s="3" t="s">
        <v>20</v>
      </c>
      <c r="C4" s="3" t="s">
        <v>29</v>
      </c>
      <c r="D4" s="3" t="s">
        <v>34</v>
      </c>
      <c r="E4" s="3" t="s">
        <v>35</v>
      </c>
      <c r="F4" s="3">
        <v>2</v>
      </c>
      <c r="G4" s="3">
        <v>650</v>
      </c>
      <c r="H4" s="3">
        <f t="shared" si="0"/>
        <v>1300</v>
      </c>
      <c r="I4" s="3" t="str">
        <f t="shared" si="1"/>
        <v>Buena</v>
      </c>
    </row>
    <row r="5" spans="1:9" x14ac:dyDescent="0.3">
      <c r="A5" s="3" t="s">
        <v>11</v>
      </c>
      <c r="B5" s="3" t="s">
        <v>21</v>
      </c>
      <c r="C5" s="3" t="s">
        <v>30</v>
      </c>
      <c r="D5" s="3" t="s">
        <v>32</v>
      </c>
      <c r="E5" s="3" t="s">
        <v>37</v>
      </c>
      <c r="F5" s="3">
        <v>1</v>
      </c>
      <c r="G5" s="3">
        <v>18000</v>
      </c>
      <c r="H5" s="3">
        <f t="shared" si="0"/>
        <v>18000</v>
      </c>
      <c r="I5" s="3" t="str">
        <f t="shared" si="1"/>
        <v>Excelente</v>
      </c>
    </row>
    <row r="6" spans="1:9" x14ac:dyDescent="0.3">
      <c r="A6" s="3" t="s">
        <v>12</v>
      </c>
      <c r="B6" s="3" t="s">
        <v>22</v>
      </c>
      <c r="C6" s="3" t="s">
        <v>30</v>
      </c>
      <c r="D6" s="3" t="s">
        <v>33</v>
      </c>
      <c r="E6" s="3" t="s">
        <v>36</v>
      </c>
      <c r="F6" s="3">
        <v>4</v>
      </c>
      <c r="G6" s="3">
        <v>350</v>
      </c>
      <c r="H6" s="3">
        <f t="shared" si="0"/>
        <v>1400</v>
      </c>
      <c r="I6" s="3" t="str">
        <f t="shared" si="1"/>
        <v>Buena</v>
      </c>
    </row>
    <row r="7" spans="1:9" x14ac:dyDescent="0.3">
      <c r="A7" s="3" t="s">
        <v>13</v>
      </c>
      <c r="B7" s="3" t="s">
        <v>23</v>
      </c>
      <c r="C7" s="3" t="s">
        <v>29</v>
      </c>
      <c r="D7" s="3" t="s">
        <v>34</v>
      </c>
      <c r="E7" s="3" t="s">
        <v>35</v>
      </c>
      <c r="F7" s="3">
        <v>1</v>
      </c>
      <c r="G7" s="3">
        <v>2200</v>
      </c>
      <c r="H7" s="3">
        <f t="shared" si="0"/>
        <v>2200</v>
      </c>
      <c r="I7" s="3" t="str">
        <f t="shared" si="1"/>
        <v>Buena</v>
      </c>
    </row>
    <row r="8" spans="1:9" x14ac:dyDescent="0.3">
      <c r="A8" s="3" t="s">
        <v>14</v>
      </c>
      <c r="B8" s="3" t="s">
        <v>24</v>
      </c>
      <c r="C8" s="3" t="s">
        <v>30</v>
      </c>
      <c r="D8" s="3" t="s">
        <v>32</v>
      </c>
      <c r="E8" s="3" t="s">
        <v>36</v>
      </c>
      <c r="F8" s="3">
        <v>2</v>
      </c>
      <c r="G8" s="3">
        <v>7200</v>
      </c>
      <c r="H8" s="3">
        <f t="shared" si="0"/>
        <v>14400</v>
      </c>
      <c r="I8" s="3" t="str">
        <f t="shared" si="1"/>
        <v>Excelente</v>
      </c>
    </row>
    <row r="9" spans="1:9" x14ac:dyDescent="0.3">
      <c r="A9" s="3" t="s">
        <v>15</v>
      </c>
      <c r="B9" s="3" t="s">
        <v>25</v>
      </c>
      <c r="C9" s="3" t="s">
        <v>31</v>
      </c>
      <c r="D9" s="3" t="s">
        <v>33</v>
      </c>
      <c r="E9" s="3" t="s">
        <v>35</v>
      </c>
      <c r="F9" s="3">
        <v>6</v>
      </c>
      <c r="G9" s="3">
        <v>25</v>
      </c>
      <c r="H9" s="3">
        <f t="shared" si="0"/>
        <v>150</v>
      </c>
      <c r="I9" s="3" t="str">
        <f t="shared" si="1"/>
        <v>Baja</v>
      </c>
    </row>
    <row r="10" spans="1:9" x14ac:dyDescent="0.3">
      <c r="A10" s="3" t="s">
        <v>16</v>
      </c>
      <c r="B10" s="3" t="s">
        <v>26</v>
      </c>
      <c r="C10" s="3" t="s">
        <v>31</v>
      </c>
      <c r="D10" s="3" t="s">
        <v>34</v>
      </c>
      <c r="E10" s="3" t="s">
        <v>37</v>
      </c>
      <c r="F10" s="3">
        <v>3</v>
      </c>
      <c r="G10" s="3">
        <v>180</v>
      </c>
      <c r="H10" s="3">
        <f t="shared" si="0"/>
        <v>540</v>
      </c>
      <c r="I10" s="3" t="str">
        <f t="shared" si="1"/>
        <v>Baja</v>
      </c>
    </row>
    <row r="11" spans="1:9" x14ac:dyDescent="0.3">
      <c r="A11" s="3" t="s">
        <v>17</v>
      </c>
      <c r="B11" s="3" t="s">
        <v>27</v>
      </c>
      <c r="C11" s="3" t="s">
        <v>28</v>
      </c>
      <c r="D11" s="3" t="s">
        <v>32</v>
      </c>
      <c r="E11" s="3" t="s">
        <v>36</v>
      </c>
      <c r="F11" s="3">
        <v>2</v>
      </c>
      <c r="G11" s="3">
        <v>55</v>
      </c>
      <c r="H11" s="3">
        <f t="shared" si="0"/>
        <v>110</v>
      </c>
      <c r="I11" s="3" t="str">
        <f t="shared" si="1"/>
        <v>Baja</v>
      </c>
    </row>
    <row r="13" spans="1:9" ht="17.399999999999999" x14ac:dyDescent="0.3">
      <c r="A13" s="2" t="s">
        <v>2</v>
      </c>
      <c r="B13" s="2" t="s">
        <v>7</v>
      </c>
      <c r="C13" s="1"/>
      <c r="D13" s="2" t="s">
        <v>3</v>
      </c>
      <c r="E13" s="2" t="s">
        <v>39</v>
      </c>
    </row>
    <row r="14" spans="1:9" x14ac:dyDescent="0.3">
      <c r="A14" s="3" t="s">
        <v>28</v>
      </c>
      <c r="B14" s="3">
        <f>SUMIF(C2:C11,"Alimentos",H2:H11)</f>
        <v>435</v>
      </c>
      <c r="C14" s="1"/>
      <c r="D14" s="3" t="s">
        <v>32</v>
      </c>
      <c r="E14" s="3">
        <f>SUMIF(D2:D11,"Ana",H2:H11)</f>
        <v>32645</v>
      </c>
    </row>
    <row r="15" spans="1:9" x14ac:dyDescent="0.3">
      <c r="A15" s="3" t="s">
        <v>29</v>
      </c>
      <c r="B15" s="3">
        <f t="shared" ref="B15:B17" si="2">SUMIF(C3:C12,"Alimentos",H3:H12)</f>
        <v>300</v>
      </c>
      <c r="C15" s="1"/>
      <c r="D15" s="3" t="s">
        <v>33</v>
      </c>
      <c r="E15" s="3">
        <f>SUMIF(D3:D12,"Luis",H3:H12)</f>
        <v>1740</v>
      </c>
    </row>
    <row r="16" spans="1:9" x14ac:dyDescent="0.3">
      <c r="A16" s="3" t="s">
        <v>30</v>
      </c>
      <c r="B16" s="3">
        <f t="shared" si="2"/>
        <v>110</v>
      </c>
      <c r="C16" s="1"/>
      <c r="D16" s="3" t="s">
        <v>34</v>
      </c>
      <c r="E16" s="3">
        <f>SUMIF(D4:D13,"Carlos",H4:H13)</f>
        <v>4040</v>
      </c>
    </row>
    <row r="17" spans="1:5" x14ac:dyDescent="0.3">
      <c r="A17" s="3" t="s">
        <v>31</v>
      </c>
      <c r="B17" s="3">
        <f t="shared" si="2"/>
        <v>110</v>
      </c>
      <c r="C17" s="1"/>
      <c r="D17" s="1"/>
      <c r="E17" s="1"/>
    </row>
  </sheetData>
  <phoneticPr fontId="1" type="noConversion"/>
  <conditionalFormatting sqref="H2:H11">
    <cfRule type="cellIs" dxfId="10" priority="6" operator="greaterThan">
      <formula>5000</formula>
    </cfRule>
    <cfRule type="cellIs" dxfId="9" priority="5" operator="between">
      <formula>1000</formula>
      <formula>4999</formula>
    </cfRule>
    <cfRule type="cellIs" dxfId="8" priority="4" operator="lessThan">
      <formula>1000</formula>
    </cfRule>
  </conditionalFormatting>
  <conditionalFormatting sqref="I2:I11">
    <cfRule type="containsText" dxfId="0" priority="3" operator="containsText" text="Excelente">
      <formula>NOT(ISERROR(SEARCH("Excelente",I2)))</formula>
    </cfRule>
    <cfRule type="containsText" dxfId="1" priority="2" operator="containsText" text="Buena">
      <formula>NOT(ISERROR(SEARCH("Buena",I2)))</formula>
    </cfRule>
    <cfRule type="containsText" dxfId="2" priority="1" operator="containsText" text="Baja">
      <formula>NOT(ISERROR(SEARCH("Baja",I2)))</formula>
    </cfRule>
  </conditionalFormatting>
  <dataValidations count="3">
    <dataValidation type="list" allowBlank="1" showInputMessage="1" showErrorMessage="1" sqref="C2:C11" xr:uid="{C70A2901-5EF9-4695-B7B0-46BA0154F283}">
      <formula1>$A$15:$A$18</formula1>
    </dataValidation>
    <dataValidation type="list" allowBlank="1" showInputMessage="1" showErrorMessage="1" sqref="D2:D11" xr:uid="{B81160C8-7388-4313-A990-EA335CC254C8}">
      <formula1>$A$14:$A$16</formula1>
    </dataValidation>
    <dataValidation type="list" allowBlank="1" showInputMessage="1" showErrorMessage="1" sqref="E2:E11" xr:uid="{55F71825-6A16-4CDE-8DFA-CDA53DBA7358}">
      <formula1>$A$14:$A$16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2026-05-22T21:23:24Z</dcterms:created>
  <dcterms:modified xsi:type="dcterms:W3CDTF">2026-05-22T22:25:10Z</dcterms:modified>
</cp:coreProperties>
</file>